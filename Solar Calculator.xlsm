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60" windowWidth="20052" windowHeight="7956"/>
  </bookViews>
  <sheets>
    <sheet name="Solar Calculator" sheetId="2" r:id="rId1"/>
    <sheet name="Sheet3" sheetId="3" state="hidden" r:id="rId2"/>
  </sheets>
  <calcPr calcId="124519"/>
</workbook>
</file>

<file path=xl/calcChain.xml><?xml version="1.0" encoding="utf-8"?>
<calcChain xmlns="http://schemas.openxmlformats.org/spreadsheetml/2006/main">
  <c r="C20" i="2"/>
  <c r="I2" i="3" l="1"/>
  <c r="I12" s="1"/>
  <c r="I14" l="1"/>
  <c r="I10"/>
  <c r="I11"/>
  <c r="J3"/>
  <c r="I13"/>
  <c r="K3"/>
  <c r="E21" l="1"/>
  <c r="F21"/>
  <c r="E22"/>
  <c r="F22"/>
  <c r="E23"/>
  <c r="F23"/>
  <c r="E24"/>
  <c r="F24"/>
  <c r="E25"/>
  <c r="F25"/>
  <c r="E26"/>
  <c r="F26"/>
  <c r="E27"/>
  <c r="F27"/>
  <c r="E28"/>
  <c r="F28"/>
  <c r="E29"/>
  <c r="F29"/>
  <c r="E30"/>
  <c r="F30"/>
  <c r="E31"/>
  <c r="F31"/>
  <c r="E4"/>
  <c r="F4"/>
  <c r="E5"/>
  <c r="F5"/>
  <c r="E6"/>
  <c r="F6"/>
  <c r="E7"/>
  <c r="F7"/>
  <c r="E8"/>
  <c r="F8"/>
  <c r="E9"/>
  <c r="F9"/>
  <c r="E10"/>
  <c r="F10"/>
  <c r="E11"/>
  <c r="F11"/>
  <c r="E12"/>
  <c r="F12"/>
  <c r="E13"/>
  <c r="F13"/>
  <c r="E14"/>
  <c r="F14"/>
  <c r="C23" i="2"/>
  <c r="D23" l="1"/>
  <c r="E23" s="1"/>
  <c r="C27"/>
  <c r="C24"/>
  <c r="C21"/>
  <c r="D20"/>
  <c r="E20" s="1"/>
  <c r="D24" l="1"/>
  <c r="D21"/>
  <c r="E21"/>
  <c r="F20"/>
  <c r="F23"/>
  <c r="E24"/>
  <c r="H30" i="3"/>
  <c r="H29"/>
  <c r="H28"/>
  <c r="H27"/>
  <c r="G20" i="2" l="1"/>
  <c r="F21"/>
  <c r="F24"/>
  <c r="G23"/>
  <c r="H11" i="3"/>
  <c r="H12"/>
  <c r="H13"/>
  <c r="H10"/>
  <c r="G21" i="2" l="1"/>
  <c r="H20"/>
  <c r="G24"/>
  <c r="H23"/>
  <c r="S10"/>
  <c r="I18" i="3" s="1"/>
  <c r="M10" i="2"/>
  <c r="B24" s="1"/>
  <c r="V3"/>
  <c r="V4" s="1"/>
  <c r="I20" l="1"/>
  <c r="H21"/>
  <c r="B19"/>
  <c r="B25"/>
  <c r="C25" s="1"/>
  <c r="D25" s="1"/>
  <c r="E25" s="1"/>
  <c r="F25" s="1"/>
  <c r="G25" s="1"/>
  <c r="I19" i="3"/>
  <c r="I23" i="2"/>
  <c r="H24"/>
  <c r="J20" l="1"/>
  <c r="I21"/>
  <c r="H25"/>
  <c r="I30" i="3"/>
  <c r="I28"/>
  <c r="K20"/>
  <c r="I31"/>
  <c r="I29"/>
  <c r="I27"/>
  <c r="J20"/>
  <c r="J23" i="2"/>
  <c r="I24"/>
  <c r="L3" i="3"/>
  <c r="N1" s="1"/>
  <c r="K20" i="2" l="1"/>
  <c r="J21"/>
  <c r="I25"/>
  <c r="L20" i="3"/>
  <c r="K23" i="2"/>
  <c r="J24"/>
  <c r="L20" l="1"/>
  <c r="K21"/>
  <c r="J25"/>
  <c r="L23"/>
  <c r="K24"/>
  <c r="M20" l="1"/>
  <c r="L21"/>
  <c r="K25"/>
  <c r="M23"/>
  <c r="L24"/>
  <c r="N20" l="1"/>
  <c r="M21"/>
  <c r="L25"/>
  <c r="N23"/>
  <c r="M24"/>
  <c r="O20" l="1"/>
  <c r="N21"/>
  <c r="M25"/>
  <c r="O23"/>
  <c r="N24"/>
  <c r="P20" l="1"/>
  <c r="O21"/>
  <c r="N25"/>
  <c r="P23"/>
  <c r="O24"/>
  <c r="Q20" l="1"/>
  <c r="P21"/>
  <c r="O25"/>
  <c r="Q23"/>
  <c r="P24"/>
  <c r="R20" l="1"/>
  <c r="Q21"/>
  <c r="P25"/>
  <c r="R23"/>
  <c r="Q24"/>
  <c r="S20" l="1"/>
  <c r="R21"/>
  <c r="Q25"/>
  <c r="S23"/>
  <c r="N18" i="3" s="1"/>
  <c r="U10" i="2" s="1"/>
  <c r="S11" s="1"/>
  <c r="C19" s="1"/>
  <c r="D19" s="1"/>
  <c r="E19" s="1"/>
  <c r="F19" s="1"/>
  <c r="G19" s="1"/>
  <c r="H19" s="1"/>
  <c r="I19" s="1"/>
  <c r="J19" s="1"/>
  <c r="K19" s="1"/>
  <c r="L19" s="1"/>
  <c r="M19" s="1"/>
  <c r="N19" s="1"/>
  <c r="O19" s="1"/>
  <c r="P19" s="1"/>
  <c r="Q19" s="1"/>
  <c r="R19" s="1"/>
  <c r="S19" s="1"/>
  <c r="T19" s="1"/>
  <c r="U19" s="1"/>
  <c r="V19" s="1"/>
  <c r="W19" s="1"/>
  <c r="X19" s="1"/>
  <c r="Y19" s="1"/>
  <c r="Z19" s="1"/>
  <c r="AA19" s="1"/>
  <c r="R24"/>
  <c r="T20" l="1"/>
  <c r="S21"/>
  <c r="R25"/>
  <c r="T23"/>
  <c r="S24"/>
  <c r="U20" l="1"/>
  <c r="T21"/>
  <c r="S25"/>
  <c r="U23"/>
  <c r="T24"/>
  <c r="V20" l="1"/>
  <c r="U21"/>
  <c r="T25"/>
  <c r="V23"/>
  <c r="U24"/>
  <c r="W20" l="1"/>
  <c r="V21"/>
  <c r="U25"/>
  <c r="W23"/>
  <c r="V24"/>
  <c r="X20" l="1"/>
  <c r="W21"/>
  <c r="V25"/>
  <c r="X23"/>
  <c r="W24"/>
  <c r="Y20" l="1"/>
  <c r="X21"/>
  <c r="W25"/>
  <c r="Y23"/>
  <c r="X24"/>
  <c r="Z20" l="1"/>
  <c r="Y21"/>
  <c r="X25"/>
  <c r="Z23"/>
  <c r="Y24"/>
  <c r="AA20" l="1"/>
  <c r="AA21" s="1"/>
  <c r="Z21"/>
  <c r="Y25"/>
  <c r="AA23"/>
  <c r="AA24" s="1"/>
  <c r="Z24"/>
  <c r="M11" l="1"/>
  <c r="Z25"/>
  <c r="M12"/>
  <c r="AA25" l="1"/>
  <c r="M13" s="1"/>
</calcChain>
</file>

<file path=xl/sharedStrings.xml><?xml version="1.0" encoding="utf-8"?>
<sst xmlns="http://schemas.openxmlformats.org/spreadsheetml/2006/main" count="94" uniqueCount="47">
  <si>
    <t>Category</t>
  </si>
  <si>
    <t>Description</t>
  </si>
  <si>
    <t>Cat 1 (A)</t>
  </si>
  <si>
    <t>Cat 1 (B)</t>
  </si>
  <si>
    <t>LTCat-1(A)</t>
  </si>
  <si>
    <t>First 50</t>
  </si>
  <si>
    <t>51-100</t>
  </si>
  <si>
    <t>LTCat-1(B)i</t>
  </si>
  <si>
    <t>100 and upto 200 units/month</t>
  </si>
  <si>
    <t>Upto 100 units/month</t>
  </si>
  <si>
    <t>0-100</t>
  </si>
  <si>
    <t>101-200</t>
  </si>
  <si>
    <t>LTCat-1(B)ii</t>
  </si>
  <si>
    <t>More than 200 units /month</t>
  </si>
  <si>
    <t>0-200</t>
  </si>
  <si>
    <t>201-300</t>
  </si>
  <si>
    <t>301-400</t>
  </si>
  <si>
    <t>401-800</t>
  </si>
  <si>
    <t>800 and above</t>
  </si>
  <si>
    <t>TSSPDCL Domestic Tariff Structure</t>
  </si>
  <si>
    <t>Capacity of Rooftop (in KW)</t>
  </si>
  <si>
    <t>Number of units generated per KW per month</t>
  </si>
  <si>
    <t>Inputs</t>
  </si>
  <si>
    <t>Average Consumption in units</t>
  </si>
  <si>
    <t>Panel Degradation</t>
  </si>
  <si>
    <t>Annual Escalation of Electricity charges</t>
  </si>
  <si>
    <t>Information</t>
  </si>
  <si>
    <t>Outputs</t>
  </si>
  <si>
    <t>Annual Savings throughout the lifetime</t>
  </si>
  <si>
    <t>Return on Investment</t>
  </si>
  <si>
    <t>Payback period</t>
  </si>
  <si>
    <t>Calculation</t>
  </si>
  <si>
    <t>Year</t>
  </si>
  <si>
    <t>Cashflow</t>
  </si>
  <si>
    <t>Cost of Solar Energy System per KW</t>
  </si>
  <si>
    <t>Cost of Energy System</t>
  </si>
  <si>
    <t>Average Power Purchase Cost per unit</t>
  </si>
  <si>
    <t>Net consumption from TSSPDCL</t>
  </si>
  <si>
    <t>First year Annual Savings</t>
  </si>
  <si>
    <t xml:space="preserve">Monthly Utility Bill </t>
  </si>
  <si>
    <t>200+</t>
  </si>
  <si>
    <t>Slab Start</t>
  </si>
  <si>
    <t>Width</t>
  </si>
  <si>
    <t>Units generated</t>
  </si>
  <si>
    <t>Cost With Solar</t>
  </si>
  <si>
    <t>Cost Without Solar</t>
  </si>
  <si>
    <t>Cumulative Cashflow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</si>
</sst>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0"/>
      <color rgb="FF3F3F76"/>
      <name val="Arial"/>
      <family val="2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6" borderId="20" applyNumberFormat="0" applyAlignment="0" applyProtection="0"/>
  </cellStyleXfs>
  <cellXfs count="40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2" xfId="0" applyFill="1" applyBorder="1"/>
    <xf numFmtId="0" fontId="0" fillId="0" borderId="1" xfId="0" applyBorder="1"/>
    <xf numFmtId="9" fontId="0" fillId="0" borderId="1" xfId="0" applyNumberFormat="1" applyBorder="1"/>
    <xf numFmtId="0" fontId="1" fillId="6" borderId="20" xfId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/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A27"/>
  <sheetViews>
    <sheetView tabSelected="1" topLeftCell="N3" zoomScale="130" zoomScaleNormal="130" workbookViewId="0">
      <selection activeCell="S6" sqref="S6"/>
    </sheetView>
  </sheetViews>
  <sheetFormatPr defaultRowHeight="14.4"/>
  <cols>
    <col min="1" max="1" width="10.44140625" customWidth="1"/>
  </cols>
  <sheetData>
    <row r="1" spans="1:22" ht="15" thickBot="1">
      <c r="A1" s="20" t="s">
        <v>19</v>
      </c>
      <c r="B1" s="20"/>
      <c r="C1" s="20"/>
      <c r="D1" s="20"/>
      <c r="I1" s="25" t="s">
        <v>22</v>
      </c>
      <c r="J1" s="25"/>
      <c r="K1" s="25"/>
      <c r="L1" s="25"/>
      <c r="N1" s="25" t="s">
        <v>26</v>
      </c>
      <c r="O1" s="25"/>
      <c r="P1" s="25"/>
      <c r="Q1" s="25"/>
      <c r="R1" s="25"/>
      <c r="S1" s="25"/>
    </row>
    <row r="2" spans="1:22" ht="15" thickBot="1">
      <c r="A2" s="6" t="s">
        <v>0</v>
      </c>
      <c r="B2" s="26" t="s">
        <v>1</v>
      </c>
      <c r="C2" s="27"/>
      <c r="D2" s="28"/>
      <c r="E2" s="6" t="s">
        <v>2</v>
      </c>
      <c r="F2" s="6" t="s">
        <v>3</v>
      </c>
      <c r="I2" s="7" t="s">
        <v>20</v>
      </c>
      <c r="J2" s="7"/>
      <c r="K2" s="7"/>
      <c r="L2" s="7">
        <v>10</v>
      </c>
      <c r="N2" s="38" t="s">
        <v>21</v>
      </c>
      <c r="O2" s="38"/>
      <c r="P2" s="38"/>
      <c r="Q2" s="38"/>
      <c r="R2" s="38"/>
      <c r="S2" s="7">
        <v>120</v>
      </c>
      <c r="V2">
        <v>1</v>
      </c>
    </row>
    <row r="3" spans="1:22">
      <c r="A3" s="29" t="s">
        <v>4</v>
      </c>
      <c r="B3" s="32" t="s">
        <v>9</v>
      </c>
      <c r="C3" s="33"/>
      <c r="D3" s="34"/>
      <c r="E3" s="3"/>
      <c r="F3" s="3"/>
      <c r="I3" s="7" t="s">
        <v>23</v>
      </c>
      <c r="J3" s="7"/>
      <c r="K3" s="7"/>
      <c r="L3" s="9">
        <v>10</v>
      </c>
      <c r="N3" s="38" t="s">
        <v>24</v>
      </c>
      <c r="O3" s="38"/>
      <c r="P3" s="38"/>
      <c r="Q3" s="38"/>
      <c r="R3" s="38"/>
      <c r="S3" s="8">
        <v>0.01</v>
      </c>
      <c r="V3">
        <f>135</f>
        <v>135</v>
      </c>
    </row>
    <row r="4" spans="1:22">
      <c r="A4" s="30"/>
      <c r="B4" s="35" t="s">
        <v>5</v>
      </c>
      <c r="C4" s="36"/>
      <c r="D4" s="37"/>
      <c r="E4" s="4">
        <v>1.45</v>
      </c>
      <c r="F4" s="4"/>
      <c r="N4" s="38" t="s">
        <v>25</v>
      </c>
      <c r="O4" s="38"/>
      <c r="P4" s="38"/>
      <c r="Q4" s="38"/>
      <c r="R4" s="38"/>
      <c r="S4" s="8">
        <v>0.03</v>
      </c>
      <c r="V4">
        <f>V3*V2</f>
        <v>135</v>
      </c>
    </row>
    <row r="5" spans="1:22" ht="15" thickBot="1">
      <c r="A5" s="31"/>
      <c r="B5" s="19" t="s">
        <v>6</v>
      </c>
      <c r="C5" s="20"/>
      <c r="D5" s="21"/>
      <c r="E5" s="5">
        <v>2.6</v>
      </c>
      <c r="F5" s="5"/>
      <c r="N5" s="38" t="s">
        <v>34</v>
      </c>
      <c r="O5" s="38"/>
      <c r="P5" s="38"/>
      <c r="Q5" s="38"/>
      <c r="R5" s="38"/>
      <c r="S5" s="7">
        <v>65000</v>
      </c>
      <c r="V5" s="1">
        <v>0.01</v>
      </c>
    </row>
    <row r="6" spans="1:22">
      <c r="A6" s="22" t="s">
        <v>7</v>
      </c>
      <c r="B6" s="13" t="s">
        <v>8</v>
      </c>
      <c r="C6" s="14"/>
      <c r="D6" s="15"/>
      <c r="E6" s="3"/>
      <c r="F6" s="3"/>
      <c r="N6" s="38" t="s">
        <v>36</v>
      </c>
      <c r="O6" s="38"/>
      <c r="P6" s="38"/>
      <c r="Q6" s="38"/>
      <c r="R6" s="38"/>
      <c r="S6" s="7">
        <v>4</v>
      </c>
    </row>
    <row r="7" spans="1:22">
      <c r="A7" s="23"/>
      <c r="B7" s="16" t="s">
        <v>10</v>
      </c>
      <c r="C7" s="17"/>
      <c r="D7" s="18"/>
      <c r="E7" s="4"/>
      <c r="F7" s="4">
        <v>3.3</v>
      </c>
    </row>
    <row r="8" spans="1:22" ht="15" thickBot="1">
      <c r="A8" s="24"/>
      <c r="B8" s="19" t="s">
        <v>11</v>
      </c>
      <c r="C8" s="20"/>
      <c r="D8" s="21"/>
      <c r="E8" s="5"/>
      <c r="F8" s="5">
        <v>4.3</v>
      </c>
    </row>
    <row r="9" spans="1:22">
      <c r="A9" s="22" t="s">
        <v>12</v>
      </c>
      <c r="B9" s="13" t="s">
        <v>13</v>
      </c>
      <c r="C9" s="14"/>
      <c r="D9" s="15"/>
      <c r="E9" s="3"/>
      <c r="F9" s="3"/>
      <c r="I9" s="25" t="s">
        <v>27</v>
      </c>
      <c r="J9" s="25"/>
      <c r="K9" s="25"/>
      <c r="L9" s="25"/>
      <c r="M9" s="25"/>
      <c r="U9" t="s">
        <v>44</v>
      </c>
      <c r="V9" t="s">
        <v>45</v>
      </c>
    </row>
    <row r="10" spans="1:22">
      <c r="A10" s="23"/>
      <c r="B10" s="16" t="s">
        <v>14</v>
      </c>
      <c r="C10" s="17"/>
      <c r="D10" s="18"/>
      <c r="E10" s="4"/>
      <c r="F10" s="4">
        <v>5</v>
      </c>
      <c r="I10" s="38" t="s">
        <v>35</v>
      </c>
      <c r="J10" s="38"/>
      <c r="K10" s="38"/>
      <c r="L10" s="38"/>
      <c r="M10" s="7">
        <f>L2*S5</f>
        <v>650000</v>
      </c>
      <c r="P10" t="s">
        <v>37</v>
      </c>
      <c r="S10">
        <f>L3-S2</f>
        <v>-110</v>
      </c>
      <c r="T10" t="s">
        <v>39</v>
      </c>
      <c r="U10">
        <f>Sheet3!N18</f>
        <v>-2559.5067703625673</v>
      </c>
      <c r="V10">
        <v>14.5</v>
      </c>
    </row>
    <row r="11" spans="1:22">
      <c r="A11" s="23"/>
      <c r="B11" s="16" t="s">
        <v>15</v>
      </c>
      <c r="C11" s="17"/>
      <c r="D11" s="18"/>
      <c r="E11" s="4"/>
      <c r="F11" s="4">
        <v>7.2</v>
      </c>
      <c r="I11" s="38" t="s">
        <v>28</v>
      </c>
      <c r="J11" s="38"/>
      <c r="K11" s="38"/>
      <c r="L11" s="38"/>
      <c r="M11" s="7">
        <f>AVERAGE(C24:AA24)</f>
        <v>50963.715274116359</v>
      </c>
      <c r="P11" s="39" t="s">
        <v>38</v>
      </c>
      <c r="Q11" s="39"/>
      <c r="R11" s="39"/>
      <c r="S11">
        <f>12*(V10-U10)</f>
        <v>30888.081244350808</v>
      </c>
    </row>
    <row r="12" spans="1:22">
      <c r="A12" s="23"/>
      <c r="B12" s="16" t="s">
        <v>16</v>
      </c>
      <c r="C12" s="17"/>
      <c r="D12" s="18"/>
      <c r="E12" s="4"/>
      <c r="F12" s="4">
        <v>8.5</v>
      </c>
      <c r="I12" s="38" t="s">
        <v>29</v>
      </c>
      <c r="J12" s="38"/>
      <c r="K12" s="38"/>
      <c r="L12" s="38"/>
      <c r="M12" s="8">
        <f>IRR(B24:AA24)</f>
        <v>6.3466460781954712E-2</v>
      </c>
    </row>
    <row r="13" spans="1:22">
      <c r="A13" s="23"/>
      <c r="B13" s="16" t="s">
        <v>17</v>
      </c>
      <c r="C13" s="17"/>
      <c r="D13" s="18"/>
      <c r="E13" s="4"/>
      <c r="F13" s="4">
        <v>9</v>
      </c>
      <c r="I13" s="38" t="s">
        <v>30</v>
      </c>
      <c r="J13" s="38"/>
      <c r="K13" s="38"/>
      <c r="L13" s="38"/>
      <c r="M13" s="7">
        <f>LOOKUP(0,C25:AA25,C18:AA18)+0.5</f>
        <v>11.5</v>
      </c>
      <c r="N13" s="2"/>
      <c r="O13" s="2"/>
      <c r="P13" s="2"/>
    </row>
    <row r="14" spans="1:22" ht="15" thickBot="1">
      <c r="A14" s="24"/>
      <c r="B14" s="19" t="s">
        <v>18</v>
      </c>
      <c r="C14" s="20"/>
      <c r="D14" s="21"/>
      <c r="E14" s="5"/>
      <c r="F14" s="5">
        <v>9.5</v>
      </c>
      <c r="L14" s="11"/>
      <c r="M14" s="11"/>
      <c r="N14" s="11"/>
      <c r="O14" s="10"/>
      <c r="P14" s="11"/>
    </row>
    <row r="15" spans="1:22">
      <c r="L15" s="12"/>
      <c r="M15" s="12"/>
      <c r="N15" s="12"/>
      <c r="O15" s="10"/>
      <c r="P15" s="12"/>
    </row>
    <row r="16" spans="1:22">
      <c r="L16" s="12"/>
      <c r="M16" s="12"/>
      <c r="N16" s="12"/>
      <c r="O16" s="12"/>
      <c r="P16" s="12"/>
    </row>
    <row r="17" spans="1:27">
      <c r="A17" t="s">
        <v>31</v>
      </c>
    </row>
    <row r="18" spans="1:27">
      <c r="A18" t="s">
        <v>32</v>
      </c>
      <c r="B18">
        <v>0</v>
      </c>
      <c r="C18">
        <v>1</v>
      </c>
      <c r="D18">
        <v>2</v>
      </c>
      <c r="E18">
        <v>3</v>
      </c>
      <c r="F18">
        <v>4</v>
      </c>
      <c r="G18">
        <v>5</v>
      </c>
      <c r="H18">
        <v>6</v>
      </c>
      <c r="I18">
        <v>7</v>
      </c>
      <c r="J18">
        <v>8</v>
      </c>
      <c r="K18">
        <v>9</v>
      </c>
      <c r="L18">
        <v>10</v>
      </c>
      <c r="M18">
        <v>11</v>
      </c>
      <c r="N18">
        <v>12</v>
      </c>
      <c r="O18">
        <v>13</v>
      </c>
      <c r="P18">
        <v>14</v>
      </c>
      <c r="Q18">
        <v>15</v>
      </c>
      <c r="R18">
        <v>16</v>
      </c>
      <c r="S18">
        <v>17</v>
      </c>
      <c r="T18">
        <v>18</v>
      </c>
      <c r="U18">
        <v>19</v>
      </c>
      <c r="V18">
        <v>20</v>
      </c>
      <c r="W18">
        <v>21</v>
      </c>
      <c r="X18">
        <v>22</v>
      </c>
      <c r="Y18">
        <v>23</v>
      </c>
      <c r="Z18">
        <v>24</v>
      </c>
      <c r="AA18">
        <v>25</v>
      </c>
    </row>
    <row r="19" spans="1:27" hidden="1">
      <c r="A19" t="s">
        <v>33</v>
      </c>
      <c r="B19">
        <f>-M10</f>
        <v>-650000</v>
      </c>
      <c r="C19">
        <f>$S$11*(1-$S$3)*(1+$S$4)</f>
        <v>31496.576444864517</v>
      </c>
      <c r="D19">
        <f>C19*(1-$S$3)*(1+$S$4)</f>
        <v>32117.059000828347</v>
      </c>
      <c r="E19">
        <f t="shared" ref="E19:AA19" si="0">D19*(1-$S$3)*(1+$S$4)</f>
        <v>32749.765063144663</v>
      </c>
      <c r="F19">
        <f t="shared" si="0"/>
        <v>33394.935434888612</v>
      </c>
      <c r="G19">
        <f t="shared" si="0"/>
        <v>34052.815662955916</v>
      </c>
      <c r="H19">
        <f t="shared" si="0"/>
        <v>34723.656131516145</v>
      </c>
      <c r="I19">
        <f t="shared" si="0"/>
        <v>35407.712157307011</v>
      </c>
      <c r="J19">
        <f t="shared" si="0"/>
        <v>36105.244086805957</v>
      </c>
      <c r="K19">
        <f t="shared" si="0"/>
        <v>36816.517395316034</v>
      </c>
      <c r="L19">
        <f t="shared" si="0"/>
        <v>37541.802788003763</v>
      </c>
      <c r="M19">
        <f t="shared" si="0"/>
        <v>38281.376302927434</v>
      </c>
      <c r="N19">
        <f t="shared" si="0"/>
        <v>39035.5194160951</v>
      </c>
      <c r="O19">
        <f t="shared" si="0"/>
        <v>39804.519148592168</v>
      </c>
      <c r="P19">
        <f t="shared" si="0"/>
        <v>40588.668175819432</v>
      </c>
      <c r="Q19">
        <f t="shared" si="0"/>
        <v>41388.264938883076</v>
      </c>
      <c r="R19">
        <f t="shared" si="0"/>
        <v>42203.613758179068</v>
      </c>
      <c r="S19">
        <f t="shared" si="0"/>
        <v>43035.0249492152</v>
      </c>
      <c r="T19">
        <f t="shared" si="0"/>
        <v>43882.814940714736</v>
      </c>
      <c r="U19">
        <f t="shared" si="0"/>
        <v>44747.306395046813</v>
      </c>
      <c r="V19">
        <f t="shared" si="0"/>
        <v>45628.828331029232</v>
      </c>
      <c r="W19">
        <f t="shared" si="0"/>
        <v>46527.716249150508</v>
      </c>
      <c r="X19">
        <f t="shared" si="0"/>
        <v>47444.312259258775</v>
      </c>
      <c r="Y19">
        <f t="shared" si="0"/>
        <v>48378.965210766175</v>
      </c>
      <c r="Z19">
        <f t="shared" si="0"/>
        <v>49332.030825418267</v>
      </c>
      <c r="AA19">
        <f t="shared" si="0"/>
        <v>50303.871832679011</v>
      </c>
    </row>
    <row r="20" spans="1:27">
      <c r="A20" t="s">
        <v>43</v>
      </c>
      <c r="C20">
        <f>S2*L2</f>
        <v>1200</v>
      </c>
      <c r="D20">
        <f>C20*(1-$S$3)</f>
        <v>1188</v>
      </c>
      <c r="E20">
        <f t="shared" ref="E20:AA20" si="1">D20*(1-$S$3)</f>
        <v>1176.1199999999999</v>
      </c>
      <c r="F20">
        <f t="shared" si="1"/>
        <v>1164.3588</v>
      </c>
      <c r="G20">
        <f t="shared" si="1"/>
        <v>1152.7152120000001</v>
      </c>
      <c r="H20">
        <f t="shared" si="1"/>
        <v>1141.1880598800001</v>
      </c>
      <c r="I20">
        <f t="shared" si="1"/>
        <v>1129.7761792812</v>
      </c>
      <c r="J20">
        <f t="shared" si="1"/>
        <v>1118.478417488388</v>
      </c>
      <c r="K20">
        <f t="shared" si="1"/>
        <v>1107.2936333135042</v>
      </c>
      <c r="L20">
        <f t="shared" si="1"/>
        <v>1096.2206969803692</v>
      </c>
      <c r="M20">
        <f t="shared" si="1"/>
        <v>1085.2584900105655</v>
      </c>
      <c r="N20">
        <f t="shared" si="1"/>
        <v>1074.4059051104598</v>
      </c>
      <c r="O20">
        <f t="shared" si="1"/>
        <v>1063.6618460593552</v>
      </c>
      <c r="P20">
        <f t="shared" si="1"/>
        <v>1053.0252275987616</v>
      </c>
      <c r="Q20">
        <f t="shared" si="1"/>
        <v>1042.4949753227741</v>
      </c>
      <c r="R20">
        <f t="shared" si="1"/>
        <v>1032.0700255695463</v>
      </c>
      <c r="S20">
        <f t="shared" si="1"/>
        <v>1021.7493253138508</v>
      </c>
      <c r="T20">
        <f t="shared" si="1"/>
        <v>1011.5318320607123</v>
      </c>
      <c r="U20">
        <f t="shared" si="1"/>
        <v>1001.4165137401052</v>
      </c>
      <c r="V20">
        <f t="shared" si="1"/>
        <v>991.40234860270414</v>
      </c>
      <c r="W20">
        <f t="shared" si="1"/>
        <v>981.48832511667706</v>
      </c>
      <c r="X20">
        <f t="shared" si="1"/>
        <v>971.67344186551031</v>
      </c>
      <c r="Y20">
        <f t="shared" si="1"/>
        <v>961.95670744685515</v>
      </c>
      <c r="Z20">
        <f t="shared" si="1"/>
        <v>952.33714037238656</v>
      </c>
      <c r="AA20">
        <f t="shared" si="1"/>
        <v>942.81376896866266</v>
      </c>
    </row>
    <row r="21" spans="1:27">
      <c r="A21" t="s">
        <v>37</v>
      </c>
      <c r="C21">
        <f>$L$3-C20</f>
        <v>-1190</v>
      </c>
      <c r="D21">
        <f t="shared" ref="D21:AA21" si="2">$L$3-D20</f>
        <v>-1178</v>
      </c>
      <c r="E21">
        <f t="shared" si="2"/>
        <v>-1166.1199999999999</v>
      </c>
      <c r="F21">
        <f t="shared" si="2"/>
        <v>-1154.3588</v>
      </c>
      <c r="G21">
        <f t="shared" si="2"/>
        <v>-1142.7152120000001</v>
      </c>
      <c r="H21">
        <f t="shared" si="2"/>
        <v>-1131.1880598800001</v>
      </c>
      <c r="I21">
        <f t="shared" si="2"/>
        <v>-1119.7761792812</v>
      </c>
      <c r="J21">
        <f t="shared" si="2"/>
        <v>-1108.478417488388</v>
      </c>
      <c r="K21">
        <f t="shared" si="2"/>
        <v>-1097.2936333135042</v>
      </c>
      <c r="L21">
        <f t="shared" si="2"/>
        <v>-1086.2206969803692</v>
      </c>
      <c r="M21">
        <f t="shared" si="2"/>
        <v>-1075.2584900105655</v>
      </c>
      <c r="N21">
        <f t="shared" si="2"/>
        <v>-1064.4059051104598</v>
      </c>
      <c r="O21">
        <f t="shared" si="2"/>
        <v>-1053.6618460593552</v>
      </c>
      <c r="P21">
        <f t="shared" si="2"/>
        <v>-1043.0252275987616</v>
      </c>
      <c r="Q21">
        <f t="shared" si="2"/>
        <v>-1032.4949753227741</v>
      </c>
      <c r="R21">
        <f t="shared" si="2"/>
        <v>-1022.0700255695463</v>
      </c>
      <c r="S21">
        <f t="shared" si="2"/>
        <v>-1011.7493253138508</v>
      </c>
      <c r="T21">
        <f t="shared" si="2"/>
        <v>-1001.5318320607123</v>
      </c>
      <c r="U21">
        <f t="shared" si="2"/>
        <v>-991.41651374010519</v>
      </c>
      <c r="V21">
        <f t="shared" si="2"/>
        <v>-981.40234860270414</v>
      </c>
      <c r="W21">
        <f t="shared" si="2"/>
        <v>-971.48832511667706</v>
      </c>
      <c r="X21">
        <f t="shared" si="2"/>
        <v>-961.67344186551031</v>
      </c>
      <c r="Y21">
        <f t="shared" si="2"/>
        <v>-951.95670744685515</v>
      </c>
      <c r="Z21">
        <f t="shared" si="2"/>
        <v>-942.33714037238656</v>
      </c>
      <c r="AA21">
        <f t="shared" si="2"/>
        <v>-932.81376896866266</v>
      </c>
    </row>
    <row r="22" spans="1:27">
      <c r="A22" t="s">
        <v>44</v>
      </c>
      <c r="C22">
        <v>-4760</v>
      </c>
      <c r="D22">
        <v>-4712</v>
      </c>
      <c r="E22">
        <v>-4664.4799999999996</v>
      </c>
      <c r="F22">
        <v>-4617.4351999999999</v>
      </c>
      <c r="G22">
        <v>-4570.8608480000003</v>
      </c>
      <c r="H22">
        <v>-4524.7522395200003</v>
      </c>
      <c r="I22">
        <v>-4479.1047171248001</v>
      </c>
      <c r="J22">
        <v>-4433.913669953552</v>
      </c>
      <c r="K22">
        <v>-4389.1745332540168</v>
      </c>
      <c r="L22">
        <v>-4344.8827879214768</v>
      </c>
      <c r="M22">
        <v>-4301.0339600422622</v>
      </c>
      <c r="N22">
        <v>-4257.6236204418392</v>
      </c>
      <c r="O22">
        <v>-4214.6473842374207</v>
      </c>
      <c r="P22">
        <v>-4172.1009103950464</v>
      </c>
      <c r="Q22">
        <v>-4129.9799012910962</v>
      </c>
      <c r="R22">
        <v>-4088.280102278185</v>
      </c>
      <c r="S22">
        <v>-4046.9973012554033</v>
      </c>
      <c r="T22">
        <v>-4006.1273282428492</v>
      </c>
      <c r="U22">
        <v>-3965.6660549604208</v>
      </c>
      <c r="V22">
        <v>-3925.6093944108165</v>
      </c>
      <c r="W22">
        <v>-3885.9533004667082</v>
      </c>
      <c r="X22">
        <v>-3846.6937674620413</v>
      </c>
      <c r="Y22">
        <v>-3807.8268297874206</v>
      </c>
      <c r="Z22">
        <v>-3769.3485614895462</v>
      </c>
      <c r="AA22">
        <v>-3731.2550758746506</v>
      </c>
    </row>
    <row r="23" spans="1:27">
      <c r="A23" t="s">
        <v>45</v>
      </c>
      <c r="C23">
        <f>V10</f>
        <v>14.5</v>
      </c>
      <c r="D23">
        <f>C23*1.03</f>
        <v>14.935</v>
      </c>
      <c r="E23">
        <f t="shared" ref="E23:AA23" si="3">D23*1.03</f>
        <v>15.383050000000001</v>
      </c>
      <c r="F23">
        <f t="shared" si="3"/>
        <v>15.844541500000002</v>
      </c>
      <c r="G23">
        <f t="shared" si="3"/>
        <v>16.319877745000003</v>
      </c>
      <c r="H23">
        <f t="shared" si="3"/>
        <v>16.809474077350004</v>
      </c>
      <c r="I23">
        <f t="shared" si="3"/>
        <v>17.313758299670504</v>
      </c>
      <c r="J23">
        <f t="shared" si="3"/>
        <v>17.833171048660621</v>
      </c>
      <c r="K23">
        <f t="shared" si="3"/>
        <v>18.36816618012044</v>
      </c>
      <c r="L23">
        <f t="shared" si="3"/>
        <v>18.919211165524054</v>
      </c>
      <c r="M23">
        <f t="shared" si="3"/>
        <v>19.486787500489775</v>
      </c>
      <c r="N23">
        <f t="shared" si="3"/>
        <v>20.071391125504469</v>
      </c>
      <c r="O23">
        <f t="shared" si="3"/>
        <v>20.673532859269603</v>
      </c>
      <c r="P23">
        <f t="shared" si="3"/>
        <v>21.293738845047692</v>
      </c>
      <c r="Q23">
        <f t="shared" si="3"/>
        <v>21.932551010399123</v>
      </c>
      <c r="R23">
        <f t="shared" si="3"/>
        <v>22.590527540711097</v>
      </c>
      <c r="S23">
        <f t="shared" si="3"/>
        <v>23.268243366932431</v>
      </c>
      <c r="T23">
        <f t="shared" si="3"/>
        <v>23.966290667940406</v>
      </c>
      <c r="U23">
        <f t="shared" si="3"/>
        <v>24.685279387978618</v>
      </c>
      <c r="V23">
        <f t="shared" si="3"/>
        <v>25.425837769617978</v>
      </c>
      <c r="W23">
        <f t="shared" si="3"/>
        <v>26.188612902706517</v>
      </c>
      <c r="X23">
        <f t="shared" si="3"/>
        <v>26.974271289787712</v>
      </c>
      <c r="Y23">
        <f t="shared" si="3"/>
        <v>27.783499428481345</v>
      </c>
      <c r="Z23">
        <f t="shared" si="3"/>
        <v>28.617004411335788</v>
      </c>
      <c r="AA23">
        <f t="shared" si="3"/>
        <v>29.475514543675864</v>
      </c>
    </row>
    <row r="24" spans="1:27">
      <c r="A24" t="s">
        <v>33</v>
      </c>
      <c r="B24">
        <f>-M10</f>
        <v>-650000</v>
      </c>
      <c r="C24">
        <f>(C23-C22)*12</f>
        <v>57294</v>
      </c>
      <c r="D24">
        <f t="shared" ref="D24:H24" si="4">(D23-D22)*12</f>
        <v>56723.22</v>
      </c>
      <c r="E24">
        <f t="shared" si="4"/>
        <v>56158.356599999999</v>
      </c>
      <c r="F24">
        <f t="shared" si="4"/>
        <v>55599.356897999998</v>
      </c>
      <c r="G24">
        <f t="shared" si="4"/>
        <v>55046.16870894</v>
      </c>
      <c r="H24">
        <f t="shared" si="4"/>
        <v>54498.740563168205</v>
      </c>
      <c r="I24">
        <f t="shared" ref="I24" si="5">(I23-I22)*12</f>
        <v>53957.021705093648</v>
      </c>
      <c r="J24">
        <f t="shared" ref="J24" si="6">(J23-J22)*12</f>
        <v>53420.962092026559</v>
      </c>
      <c r="K24">
        <f t="shared" ref="K24" si="7">(K23-K22)*12</f>
        <v>52890.512393209647</v>
      </c>
      <c r="L24">
        <f t="shared" ref="L24:M24" si="8">(L23-L22)*12</f>
        <v>52365.623989044005</v>
      </c>
      <c r="M24">
        <f t="shared" si="8"/>
        <v>51846.248970513028</v>
      </c>
      <c r="N24">
        <f t="shared" ref="N24" si="9">(N23-N22)*12</f>
        <v>51332.340138808126</v>
      </c>
      <c r="O24">
        <f t="shared" ref="O24" si="10">(O23-O22)*12</f>
        <v>50823.851005160279</v>
      </c>
      <c r="P24">
        <f t="shared" ref="P24" si="11">(P23-P22)*12</f>
        <v>50320.735790881125</v>
      </c>
      <c r="Q24">
        <f t="shared" ref="Q24:R24" si="12">(Q23-Q22)*12</f>
        <v>49822.949427617947</v>
      </c>
      <c r="R24">
        <f t="shared" si="12"/>
        <v>49330.447557826759</v>
      </c>
      <c r="S24">
        <f t="shared" ref="S24" si="13">(S23-S22)*12</f>
        <v>48843.186535468027</v>
      </c>
      <c r="T24">
        <f t="shared" ref="T24" si="14">(T23-T22)*12</f>
        <v>48361.12342692948</v>
      </c>
      <c r="U24">
        <f t="shared" ref="U24" si="15">(U23-U22)*12</f>
        <v>47884.21601218079</v>
      </c>
      <c r="V24">
        <f t="shared" ref="V24:W24" si="16">(V23-V22)*12</f>
        <v>47412.422786165211</v>
      </c>
      <c r="W24">
        <f t="shared" si="16"/>
        <v>46945.70296043298</v>
      </c>
      <c r="X24">
        <f t="shared" ref="X24" si="17">(X23-X22)*12</f>
        <v>46484.016465021952</v>
      </c>
      <c r="Y24">
        <f t="shared" ref="Y24" si="18">(Y23-Y22)*12</f>
        <v>46027.32395059082</v>
      </c>
      <c r="Z24">
        <f t="shared" ref="Z24" si="19">(Z23-Z22)*12</f>
        <v>45575.586790810587</v>
      </c>
      <c r="AA24">
        <f t="shared" ref="AA24" si="20">(AA23-AA22)*12</f>
        <v>45128.767085019914</v>
      </c>
    </row>
    <row r="25" spans="1:27" hidden="1">
      <c r="A25" t="s">
        <v>46</v>
      </c>
      <c r="B25">
        <f>B24</f>
        <v>-650000</v>
      </c>
      <c r="C25">
        <f>B25+C24</f>
        <v>-592706</v>
      </c>
      <c r="D25">
        <f t="shared" ref="D25:AA25" si="21">C25+D24</f>
        <v>-535982.78</v>
      </c>
      <c r="E25">
        <f t="shared" si="21"/>
        <v>-479824.42340000003</v>
      </c>
      <c r="F25">
        <f t="shared" si="21"/>
        <v>-424225.06650200003</v>
      </c>
      <c r="G25">
        <f t="shared" si="21"/>
        <v>-369178.89779306005</v>
      </c>
      <c r="H25">
        <f t="shared" si="21"/>
        <v>-314680.15722989186</v>
      </c>
      <c r="I25">
        <f t="shared" si="21"/>
        <v>-260723.13552479821</v>
      </c>
      <c r="J25">
        <f t="shared" si="21"/>
        <v>-207302.17343277164</v>
      </c>
      <c r="K25">
        <f t="shared" si="21"/>
        <v>-154411.66103956199</v>
      </c>
      <c r="L25">
        <f t="shared" si="21"/>
        <v>-102046.03705051799</v>
      </c>
      <c r="M25">
        <f t="shared" si="21"/>
        <v>-50199.788080004961</v>
      </c>
      <c r="N25">
        <f t="shared" si="21"/>
        <v>1132.552058803165</v>
      </c>
      <c r="O25">
        <f t="shared" si="21"/>
        <v>51956.403063963444</v>
      </c>
      <c r="P25">
        <f t="shared" si="21"/>
        <v>102277.13885484457</v>
      </c>
      <c r="Q25">
        <f t="shared" si="21"/>
        <v>152100.0882824625</v>
      </c>
      <c r="R25">
        <f t="shared" si="21"/>
        <v>201430.53584028926</v>
      </c>
      <c r="S25">
        <f t="shared" si="21"/>
        <v>250273.72237575729</v>
      </c>
      <c r="T25">
        <f t="shared" si="21"/>
        <v>298634.84580268676</v>
      </c>
      <c r="U25">
        <f t="shared" si="21"/>
        <v>346519.06181486754</v>
      </c>
      <c r="V25">
        <f t="shared" si="21"/>
        <v>393931.48460103275</v>
      </c>
      <c r="W25">
        <f t="shared" si="21"/>
        <v>440877.18756146572</v>
      </c>
      <c r="X25">
        <f t="shared" si="21"/>
        <v>487361.20402648766</v>
      </c>
      <c r="Y25">
        <f t="shared" si="21"/>
        <v>533388.52797707845</v>
      </c>
      <c r="Z25">
        <f t="shared" si="21"/>
        <v>578964.11476788903</v>
      </c>
      <c r="AA25">
        <f t="shared" si="21"/>
        <v>624092.88185290899</v>
      </c>
    </row>
    <row r="27" spans="1:27">
      <c r="C27">
        <f>C23-C22</f>
        <v>4774.5</v>
      </c>
    </row>
  </sheetData>
  <mergeCells count="30">
    <mergeCell ref="I10:L10"/>
    <mergeCell ref="N6:R6"/>
    <mergeCell ref="N2:R2"/>
    <mergeCell ref="N3:R3"/>
    <mergeCell ref="N4:R4"/>
    <mergeCell ref="I9:M9"/>
    <mergeCell ref="I11:L11"/>
    <mergeCell ref="I12:L12"/>
    <mergeCell ref="I13:L13"/>
    <mergeCell ref="P11:R11"/>
    <mergeCell ref="B12:D12"/>
    <mergeCell ref="B13:D13"/>
    <mergeCell ref="I1:L1"/>
    <mergeCell ref="N1:S1"/>
    <mergeCell ref="A6:A8"/>
    <mergeCell ref="B6:D6"/>
    <mergeCell ref="B7:D7"/>
    <mergeCell ref="B8:D8"/>
    <mergeCell ref="A1:D1"/>
    <mergeCell ref="B2:D2"/>
    <mergeCell ref="A3:A5"/>
    <mergeCell ref="B3:D3"/>
    <mergeCell ref="B4:D4"/>
    <mergeCell ref="B5:D5"/>
    <mergeCell ref="N5:R5"/>
    <mergeCell ref="B9:D9"/>
    <mergeCell ref="B10:D10"/>
    <mergeCell ref="B11:D11"/>
    <mergeCell ref="B14:D14"/>
    <mergeCell ref="A9:A1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N31"/>
  <sheetViews>
    <sheetView topLeftCell="A2" workbookViewId="0">
      <selection activeCell="I25" sqref="I25"/>
    </sheetView>
  </sheetViews>
  <sheetFormatPr defaultRowHeight="14.4"/>
  <sheetData>
    <row r="1" spans="1:14" ht="15" thickBot="1">
      <c r="A1" s="20" t="s">
        <v>19</v>
      </c>
      <c r="B1" s="20"/>
      <c r="C1" s="20"/>
      <c r="D1" s="20"/>
      <c r="I1">
        <v>-932.81376896866266</v>
      </c>
      <c r="N1">
        <f>IF(I1&lt;=100,Sheet3!J3,IF(I1&lt;=200,Sheet3!K3,Sheet3!L3))+(MIN(0,I1))*'Solar Calculator'!S6</f>
        <v>-3731.2550758746506</v>
      </c>
    </row>
    <row r="2" spans="1:14" ht="15" thickBot="1">
      <c r="A2" s="6" t="s">
        <v>0</v>
      </c>
      <c r="B2" s="26" t="s">
        <v>1</v>
      </c>
      <c r="C2" s="27"/>
      <c r="D2" s="28"/>
      <c r="E2" s="6" t="s">
        <v>2</v>
      </c>
      <c r="F2" s="6" t="s">
        <v>3</v>
      </c>
      <c r="I2">
        <f>MAX(I1,0)</f>
        <v>0</v>
      </c>
      <c r="J2">
        <v>100</v>
      </c>
      <c r="K2">
        <v>200</v>
      </c>
      <c r="L2" t="s">
        <v>40</v>
      </c>
    </row>
    <row r="3" spans="1:14">
      <c r="A3" s="29" t="s">
        <v>4</v>
      </c>
      <c r="B3" s="32" t="s">
        <v>9</v>
      </c>
      <c r="C3" s="33"/>
      <c r="D3" s="34"/>
      <c r="E3" s="3"/>
      <c r="F3" s="3"/>
      <c r="J3">
        <f>IF(I2&lt;50,I2*E4,50*E4)+IF(I2&gt;50,(I2-50)*E5,0)</f>
        <v>0</v>
      </c>
      <c r="K3">
        <f>100*F7+(I2-100)*F8</f>
        <v>-100</v>
      </c>
      <c r="L3">
        <f>SUM(I10:I14)</f>
        <v>0</v>
      </c>
    </row>
    <row r="4" spans="1:14">
      <c r="A4" s="30"/>
      <c r="B4" s="35" t="s">
        <v>5</v>
      </c>
      <c r="C4" s="36"/>
      <c r="D4" s="37"/>
      <c r="E4" s="4">
        <f>'Solar Calculator'!E4</f>
        <v>1.45</v>
      </c>
      <c r="F4" s="4">
        <f>'Solar Calculator'!F4</f>
        <v>0</v>
      </c>
    </row>
    <row r="5" spans="1:14" ht="15" thickBot="1">
      <c r="A5" s="31"/>
      <c r="B5" s="19" t="s">
        <v>6</v>
      </c>
      <c r="C5" s="20"/>
      <c r="D5" s="21"/>
      <c r="E5" s="5">
        <f>'Solar Calculator'!E5</f>
        <v>2.6</v>
      </c>
      <c r="F5" s="5">
        <f>'Solar Calculator'!F5</f>
        <v>0</v>
      </c>
    </row>
    <row r="6" spans="1:14">
      <c r="A6" s="22" t="s">
        <v>7</v>
      </c>
      <c r="B6" s="13" t="s">
        <v>8</v>
      </c>
      <c r="C6" s="14"/>
      <c r="D6" s="15"/>
      <c r="E6" s="3">
        <f>'Solar Calculator'!E6</f>
        <v>0</v>
      </c>
      <c r="F6" s="3">
        <f>'Solar Calculator'!F6</f>
        <v>0</v>
      </c>
    </row>
    <row r="7" spans="1:14">
      <c r="A7" s="23"/>
      <c r="B7" s="16" t="s">
        <v>10</v>
      </c>
      <c r="C7" s="17"/>
      <c r="D7" s="18"/>
      <c r="E7" s="4">
        <f>'Solar Calculator'!E7</f>
        <v>0</v>
      </c>
      <c r="F7" s="4">
        <f>'Solar Calculator'!F7</f>
        <v>3.3</v>
      </c>
    </row>
    <row r="8" spans="1:14" ht="15" thickBot="1">
      <c r="A8" s="24"/>
      <c r="B8" s="19" t="s">
        <v>11</v>
      </c>
      <c r="C8" s="20"/>
      <c r="D8" s="21"/>
      <c r="E8" s="5">
        <f>'Solar Calculator'!E8</f>
        <v>0</v>
      </c>
      <c r="F8" s="5">
        <f>'Solar Calculator'!F8</f>
        <v>4.3</v>
      </c>
    </row>
    <row r="9" spans="1:14">
      <c r="A9" s="22" t="s">
        <v>12</v>
      </c>
      <c r="B9" s="13" t="s">
        <v>13</v>
      </c>
      <c r="C9" s="14"/>
      <c r="D9" s="15"/>
      <c r="E9" s="3">
        <f>'Solar Calculator'!E9</f>
        <v>0</v>
      </c>
      <c r="F9" s="3">
        <f>'Solar Calculator'!F9</f>
        <v>0</v>
      </c>
      <c r="G9" t="s">
        <v>41</v>
      </c>
      <c r="H9" t="s">
        <v>42</v>
      </c>
    </row>
    <row r="10" spans="1:14">
      <c r="A10" s="23"/>
      <c r="B10" s="16" t="s">
        <v>14</v>
      </c>
      <c r="C10" s="17"/>
      <c r="D10" s="18"/>
      <c r="E10" s="4">
        <f>'Solar Calculator'!E10</f>
        <v>0</v>
      </c>
      <c r="F10" s="4">
        <f>'Solar Calculator'!F10</f>
        <v>5</v>
      </c>
      <c r="G10">
        <v>0</v>
      </c>
      <c r="H10">
        <f>G11-G10</f>
        <v>200</v>
      </c>
      <c r="I10">
        <f>MAX(0,IF(($I$2-G10)&gt;H10,H10*F10,($I$2-G10)*F10))</f>
        <v>0</v>
      </c>
    </row>
    <row r="11" spans="1:14">
      <c r="A11" s="23"/>
      <c r="B11" s="16" t="s">
        <v>15</v>
      </c>
      <c r="C11" s="17"/>
      <c r="D11" s="18"/>
      <c r="E11" s="4">
        <f>'Solar Calculator'!E11</f>
        <v>0</v>
      </c>
      <c r="F11" s="4">
        <f>'Solar Calculator'!F11</f>
        <v>7.2</v>
      </c>
      <c r="G11">
        <v>200</v>
      </c>
      <c r="H11">
        <f t="shared" ref="H11:H13" si="0">G12-G11</f>
        <v>100</v>
      </c>
      <c r="I11">
        <f t="shared" ref="I11:I14" si="1">MAX(0,IF(($I$2-G11)&gt;H11,H11*F11,($I$2-G11)*F11))</f>
        <v>0</v>
      </c>
    </row>
    <row r="12" spans="1:14">
      <c r="A12" s="23"/>
      <c r="B12" s="16" t="s">
        <v>16</v>
      </c>
      <c r="C12" s="17"/>
      <c r="D12" s="18"/>
      <c r="E12" s="4">
        <f>'Solar Calculator'!E12</f>
        <v>0</v>
      </c>
      <c r="F12" s="4">
        <f>'Solar Calculator'!F12</f>
        <v>8.5</v>
      </c>
      <c r="G12">
        <v>300</v>
      </c>
      <c r="H12">
        <f t="shared" si="0"/>
        <v>100</v>
      </c>
      <c r="I12">
        <f t="shared" si="1"/>
        <v>0</v>
      </c>
    </row>
    <row r="13" spans="1:14">
      <c r="A13" s="23"/>
      <c r="B13" s="16" t="s">
        <v>17</v>
      </c>
      <c r="C13" s="17"/>
      <c r="D13" s="18"/>
      <c r="E13" s="4">
        <f>'Solar Calculator'!E13</f>
        <v>0</v>
      </c>
      <c r="F13" s="4">
        <f>'Solar Calculator'!F13</f>
        <v>9</v>
      </c>
      <c r="G13">
        <v>400</v>
      </c>
      <c r="H13">
        <f t="shared" si="0"/>
        <v>400</v>
      </c>
      <c r="I13">
        <f t="shared" si="1"/>
        <v>0</v>
      </c>
    </row>
    <row r="14" spans="1:14" ht="15" thickBot="1">
      <c r="A14" s="24"/>
      <c r="B14" s="19" t="s">
        <v>18</v>
      </c>
      <c r="C14" s="20"/>
      <c r="D14" s="21"/>
      <c r="E14" s="5">
        <f>'Solar Calculator'!E14</f>
        <v>0</v>
      </c>
      <c r="F14" s="5">
        <f>'Solar Calculator'!F14</f>
        <v>9.5</v>
      </c>
      <c r="G14">
        <v>800</v>
      </c>
      <c r="I14">
        <f t="shared" si="1"/>
        <v>0</v>
      </c>
    </row>
    <row r="18" spans="1:14" ht="15" thickBot="1">
      <c r="A18" s="20" t="s">
        <v>19</v>
      </c>
      <c r="B18" s="20"/>
      <c r="C18" s="20"/>
      <c r="D18" s="20"/>
      <c r="I18">
        <f>'Solar Calculator'!S10</f>
        <v>-110</v>
      </c>
      <c r="N18">
        <f>IF(I18&lt;=100,Sheet3!J20,IF(I18&lt;=200,Sheet3!K20,Sheet3!L20))+(MIN(0,I18))*'Solar Calculator'!S23</f>
        <v>-2559.5067703625673</v>
      </c>
    </row>
    <row r="19" spans="1:14" ht="15" thickBot="1">
      <c r="A19" s="6" t="s">
        <v>0</v>
      </c>
      <c r="B19" s="26" t="s">
        <v>1</v>
      </c>
      <c r="C19" s="27"/>
      <c r="D19" s="28"/>
      <c r="E19" s="6" t="s">
        <v>2</v>
      </c>
      <c r="F19" s="6" t="s">
        <v>3</v>
      </c>
      <c r="I19">
        <f>MAX(I18,0)</f>
        <v>0</v>
      </c>
      <c r="J19">
        <v>100</v>
      </c>
      <c r="K19">
        <v>200</v>
      </c>
      <c r="L19" t="s">
        <v>40</v>
      </c>
    </row>
    <row r="20" spans="1:14">
      <c r="A20" s="29" t="s">
        <v>4</v>
      </c>
      <c r="B20" s="32" t="s">
        <v>9</v>
      </c>
      <c r="C20" s="33"/>
      <c r="D20" s="34"/>
      <c r="E20" s="3"/>
      <c r="F20" s="3"/>
      <c r="J20">
        <f>IF(I19&lt;50,I19*E21,50*E21)+IF(I19&gt;50,(I19-50)*E22,0)</f>
        <v>0</v>
      </c>
      <c r="K20">
        <f>100*F24+(I19-100)*F25</f>
        <v>-100</v>
      </c>
      <c r="L20">
        <f>SUM(I27:I31)</f>
        <v>0</v>
      </c>
    </row>
    <row r="21" spans="1:14">
      <c r="A21" s="30"/>
      <c r="B21" s="35" t="s">
        <v>5</v>
      </c>
      <c r="C21" s="36"/>
      <c r="D21" s="37"/>
      <c r="E21" s="4">
        <f>'Solar Calculator'!E4</f>
        <v>1.45</v>
      </c>
      <c r="F21" s="4">
        <f>'Solar Calculator'!F4</f>
        <v>0</v>
      </c>
    </row>
    <row r="22" spans="1:14" ht="15" thickBot="1">
      <c r="A22" s="31"/>
      <c r="B22" s="19" t="s">
        <v>6</v>
      </c>
      <c r="C22" s="20"/>
      <c r="D22" s="21"/>
      <c r="E22" s="5">
        <f>'Solar Calculator'!E5</f>
        <v>2.6</v>
      </c>
      <c r="F22" s="5">
        <f>'Solar Calculator'!F5</f>
        <v>0</v>
      </c>
    </row>
    <row r="23" spans="1:14">
      <c r="A23" s="22" t="s">
        <v>7</v>
      </c>
      <c r="B23" s="13" t="s">
        <v>8</v>
      </c>
      <c r="C23" s="14"/>
      <c r="D23" s="15"/>
      <c r="E23" s="3">
        <f>'Solar Calculator'!E6</f>
        <v>0</v>
      </c>
      <c r="F23" s="3">
        <f>'Solar Calculator'!F6</f>
        <v>0</v>
      </c>
    </row>
    <row r="24" spans="1:14">
      <c r="A24" s="23"/>
      <c r="B24" s="16" t="s">
        <v>10</v>
      </c>
      <c r="C24" s="17"/>
      <c r="D24" s="18"/>
      <c r="E24" s="4">
        <f>'Solar Calculator'!E7</f>
        <v>0</v>
      </c>
      <c r="F24" s="4">
        <f>'Solar Calculator'!F7</f>
        <v>3.3</v>
      </c>
    </row>
    <row r="25" spans="1:14" ht="15" thickBot="1">
      <c r="A25" s="24"/>
      <c r="B25" s="19" t="s">
        <v>11</v>
      </c>
      <c r="C25" s="20"/>
      <c r="D25" s="21"/>
      <c r="E25" s="5">
        <f>'Solar Calculator'!E8</f>
        <v>0</v>
      </c>
      <c r="F25" s="5">
        <f>'Solar Calculator'!F8</f>
        <v>4.3</v>
      </c>
    </row>
    <row r="26" spans="1:14">
      <c r="A26" s="22" t="s">
        <v>12</v>
      </c>
      <c r="B26" s="13" t="s">
        <v>13</v>
      </c>
      <c r="C26" s="14"/>
      <c r="D26" s="15"/>
      <c r="E26" s="3">
        <f>'Solar Calculator'!E9</f>
        <v>0</v>
      </c>
      <c r="F26" s="3">
        <f>'Solar Calculator'!F9</f>
        <v>0</v>
      </c>
      <c r="G26" t="s">
        <v>41</v>
      </c>
      <c r="H26" t="s">
        <v>42</v>
      </c>
    </row>
    <row r="27" spans="1:14">
      <c r="A27" s="23"/>
      <c r="B27" s="16" t="s">
        <v>14</v>
      </c>
      <c r="C27" s="17"/>
      <c r="D27" s="18"/>
      <c r="E27" s="4">
        <f>'Solar Calculator'!E10</f>
        <v>0</v>
      </c>
      <c r="F27" s="4">
        <f>'Solar Calculator'!F10</f>
        <v>5</v>
      </c>
      <c r="G27">
        <v>0</v>
      </c>
      <c r="H27">
        <f>G28-G27</f>
        <v>200</v>
      </c>
      <c r="I27">
        <f>MAX(0,IF(($I$19-G27)&gt;H27,H27*F27,($I$19-G27)*F27))</f>
        <v>0</v>
      </c>
    </row>
    <row r="28" spans="1:14">
      <c r="A28" s="23"/>
      <c r="B28" s="16" t="s">
        <v>15</v>
      </c>
      <c r="C28" s="17"/>
      <c r="D28" s="18"/>
      <c r="E28" s="4">
        <f>'Solar Calculator'!E11</f>
        <v>0</v>
      </c>
      <c r="F28" s="4">
        <f>'Solar Calculator'!F11</f>
        <v>7.2</v>
      </c>
      <c r="G28">
        <v>200</v>
      </c>
      <c r="H28">
        <f t="shared" ref="H28:H30" si="2">G29-G28</f>
        <v>100</v>
      </c>
      <c r="I28">
        <f t="shared" ref="I28:I31" si="3">MAX(0,IF(($I$19-G28)&gt;H28,H28*F28,($I$19-G28)*F28))</f>
        <v>0</v>
      </c>
    </row>
    <row r="29" spans="1:14">
      <c r="A29" s="23"/>
      <c r="B29" s="16" t="s">
        <v>16</v>
      </c>
      <c r="C29" s="17"/>
      <c r="D29" s="18"/>
      <c r="E29" s="4">
        <f>'Solar Calculator'!E12</f>
        <v>0</v>
      </c>
      <c r="F29" s="4">
        <f>'Solar Calculator'!F12</f>
        <v>8.5</v>
      </c>
      <c r="G29">
        <v>300</v>
      </c>
      <c r="H29">
        <f t="shared" si="2"/>
        <v>100</v>
      </c>
      <c r="I29">
        <f t="shared" si="3"/>
        <v>0</v>
      </c>
    </row>
    <row r="30" spans="1:14">
      <c r="A30" s="23"/>
      <c r="B30" s="16" t="s">
        <v>17</v>
      </c>
      <c r="C30" s="17"/>
      <c r="D30" s="18"/>
      <c r="E30" s="4">
        <f>'Solar Calculator'!E13</f>
        <v>0</v>
      </c>
      <c r="F30" s="4">
        <f>'Solar Calculator'!F13</f>
        <v>9</v>
      </c>
      <c r="G30">
        <v>400</v>
      </c>
      <c r="H30">
        <f t="shared" si="2"/>
        <v>400</v>
      </c>
      <c r="I30">
        <f t="shared" si="3"/>
        <v>0</v>
      </c>
    </row>
    <row r="31" spans="1:14" ht="15" thickBot="1">
      <c r="A31" s="24"/>
      <c r="B31" s="19" t="s">
        <v>18</v>
      </c>
      <c r="C31" s="20"/>
      <c r="D31" s="21"/>
      <c r="E31" s="5">
        <f>'Solar Calculator'!E14</f>
        <v>0</v>
      </c>
      <c r="F31" s="5">
        <f>'Solar Calculator'!F14</f>
        <v>9.5</v>
      </c>
      <c r="G31">
        <v>800</v>
      </c>
      <c r="I31">
        <f t="shared" si="3"/>
        <v>0</v>
      </c>
    </row>
  </sheetData>
  <mergeCells count="34">
    <mergeCell ref="A23:A25"/>
    <mergeCell ref="B23:D23"/>
    <mergeCell ref="B24:D24"/>
    <mergeCell ref="B25:D25"/>
    <mergeCell ref="A26:A31"/>
    <mergeCell ref="B26:D26"/>
    <mergeCell ref="B27:D27"/>
    <mergeCell ref="B28:D28"/>
    <mergeCell ref="B29:D29"/>
    <mergeCell ref="B30:D30"/>
    <mergeCell ref="B31:D31"/>
    <mergeCell ref="A18:D18"/>
    <mergeCell ref="B19:D19"/>
    <mergeCell ref="A20:A22"/>
    <mergeCell ref="B20:D20"/>
    <mergeCell ref="B21:D21"/>
    <mergeCell ref="B22:D22"/>
    <mergeCell ref="A1:D1"/>
    <mergeCell ref="B2:D2"/>
    <mergeCell ref="A3:A5"/>
    <mergeCell ref="B3:D3"/>
    <mergeCell ref="B4:D4"/>
    <mergeCell ref="B5:D5"/>
    <mergeCell ref="B14:D14"/>
    <mergeCell ref="A6:A8"/>
    <mergeCell ref="B6:D6"/>
    <mergeCell ref="B7:D7"/>
    <mergeCell ref="B8:D8"/>
    <mergeCell ref="A9:A14"/>
    <mergeCell ref="B9:D9"/>
    <mergeCell ref="B10:D10"/>
    <mergeCell ref="B11:D11"/>
    <mergeCell ref="B12:D12"/>
    <mergeCell ref="B13:D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Solar Calculator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Naveen Kssvs</dc:creator>
  <cp:lastModifiedBy>kalyan</cp:lastModifiedBy>
  <dcterms:created xsi:type="dcterms:W3CDTF">2017-05-24T10:58:24Z</dcterms:created>
  <dcterms:modified xsi:type="dcterms:W3CDTF">2017-06-04T04:58:11Z</dcterms:modified>
</cp:coreProperties>
</file>